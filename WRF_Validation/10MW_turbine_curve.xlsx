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ceed5121a94b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T_CP曲线" sheetId="1" r:id="R255a2f07c76e4dfc"/>
    <x:sheet xmlns:r="http://schemas.openxmlformats.org/officeDocument/2006/relationships" name="说明" sheetId="2" r:id="Rff33773f6bc042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.0000"/>
    <x:numFmt numFmtId="202" formatCode="#,##0.0"/>
    <x:numFmt numFmtId="203" formatCode="0.000"/>
  </x:numFmts>
  <x:fonts count="5">
    <x:font>
      <x:sz val="11"/>
      <x:name val="Carlito"/>
    </x:font>
    <x:font>
      <x:b/>
      <x:sz val="16"/>
      <x:color rgb="FF17365D"/>
      <x:name val="Carlito"/>
    </x:font>
    <x:font>
      <x:sz val="11"/>
      <x:color rgb="FF334155"/>
      <x:name val="Carlito"/>
    </x:font>
    <x:font>
      <x:b/>
      <x:sz val="11"/>
      <x:color rgb="FFFFFFFF"/>
      <x:name val="Carlito"/>
    </x:font>
    <x:font>
      <x:b/>
      <x:sz val="11"/>
      <x:color rgb="FF33415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4F7FA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13">
    <x:border/>
    <x:border>
      <x:right style="thin">
        <x:color rgb="FFB8C7D9"/>
      </x:right>
    </x:border>
    <x:border>
      <x:left style="thin">
        <x:color rgb="FFB8C7D9"/>
      </x:left>
      <x:right style="thin">
        <x:color rgb="FFB8C7D9"/>
      </x:right>
    </x:border>
    <x:border>
      <x:left style="thin">
        <x:color rgb="FFB8C7D9"/>
      </x:left>
    </x:border>
    <x:border>
      <x:right style="thin">
        <x:color rgb="FFB8C7D9"/>
      </x:right>
      <x:bottom style="thin">
        <x:color rgb="FFDCE3EA"/>
      </x:bottom>
    </x:border>
    <x:border>
      <x:left style="thin">
        <x:color rgb="FFB8C7D9"/>
      </x:left>
      <x:right style="thin">
        <x:color rgb="FFB8C7D9"/>
      </x:right>
      <x:bottom style="thin">
        <x:color rgb="FFDCE3EA"/>
      </x:bottom>
    </x:border>
    <x:border>
      <x:top style="thin">
        <x:color rgb="FFDCE3EA"/>
      </x:top>
      <x:bottom style="thin">
        <x:color rgb="FFDCE3EA"/>
      </x:bottom>
    </x:border>
    <x:border>
      <x:right style="thin">
        <x:color rgb="FFB8C7D9"/>
      </x:right>
      <x:top style="thin">
        <x:color rgb="FFDCE3EA"/>
      </x:top>
      <x:bottom style="thin">
        <x:color rgb="FFDCE3EA"/>
      </x:bottom>
    </x:border>
    <x:border>
      <x:top style="thin">
        <x:color rgb="FFDCE3EA"/>
      </x:top>
      <x:bottom style="thin">
        <x:color rgb="FF9FB3C8"/>
      </x:bottom>
    </x:border>
    <x:border>
      <x:right style="thin">
        <x:color rgb="FFB8C7D9"/>
      </x:right>
      <x:top style="thin">
        <x:color rgb="FFDCE3EA"/>
      </x:top>
      <x:bottom style="thin">
        <x:color rgb="FF9FB3C8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200" fontId="0" fillId="0" borderId="6" xfId="0" applyNumberFormat="1" applyFont="1" applyFill="1" applyBorder="1"/>
    <x:xf numFmtId="201" fontId="0" fillId="0" borderId="6" xfId="0" applyNumberFormat="1" applyFont="1" applyFill="1" applyBorder="1"/>
    <x:xf numFmtId="202" fontId="0" fillId="0" borderId="7" xfId="0" applyNumberFormat="1" applyFont="1" applyFill="1" applyBorder="1"/>
    <x:xf numFmtId="200" fontId="0" fillId="0" borderId="8" xfId="0" applyNumberFormat="1" applyFont="1" applyFill="1" applyBorder="1"/>
    <x:xf numFmtId="201" fontId="0" fillId="0" borderId="8" xfId="0" applyNumberFormat="1" applyFont="1" applyFill="1" applyBorder="1"/>
    <x:xf numFmtId="202" fontId="0" fillId="0" borderId="9" xfId="0" applyNumberFormat="1" applyFont="1" applyFill="1" applyBorder="1"/>
    <x:xf numFmtId="200" fontId="0" fillId="0" borderId="6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202" fontId="0" fillId="0" borderId="7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1" fontId="0" fillId="0" borderId="8" xfId="0" applyNumberFormat="1" applyFont="1" applyFill="1" applyBorder="1" applyAlignment="1">
      <x:alignment vertical="center"/>
    </x:xf>
    <x:xf numFmtId="202" fontId="0" fillId="0" borderId="9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5" borderId="11" xfId="0" applyNumberFormat="1" applyFont="1" applyFill="1" applyBorder="1" applyAlignment="1">
      <x:alignment wrapText="1"/>
    </x:xf>
    <x:xf numFmtId="203" fontId="0" fillId="5" borderId="1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95805f9d9d4fcd" /><Relationship Type="http://schemas.openxmlformats.org/officeDocument/2006/relationships/theme" Target="/xl/theme/theme1.xml" Id="R0623fbdebd2a4569" /><Relationship Type="http://schemas.openxmlformats.org/officeDocument/2006/relationships/sharedStrings" Target="/xl/sharedStrings.xml" Id="Redaa96ac51914038" /><Relationship Type="http://schemas.openxmlformats.org/officeDocument/2006/relationships/worksheet" Target="/xl/worksheets/sheet1.xml" Id="R255a2f07c76e4dfc" /><Relationship Type="http://schemas.openxmlformats.org/officeDocument/2006/relationships/worksheet" Target="/xl/worksheets/sheet2.xml" Id="Rff33773f6bc0423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020aad4c44241b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风机 CT 与 Cp 随风速变化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autoTitleDeleted val="0"/>
    <c:plotArea>
      <c:layout/>
      <c:lineChart>
        <c:grouping val="standard"/>
        <c:ser>
          <c:idx val="0"/>
          <c:order val="0"/>
          <c:tx>
            <c:v>CT (-)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'CT_CP曲线'!$A$4:$A$25</c:f>
              <c:strCache>
                <c:ptCount val="0"/>
              </c:strCache>
            </c:strRef>
          </c:cat>
          <c:val>
            <c:numRef>
              <c:f>'CT_CP曲线'!$B$4:$B$25</c:f>
              <c:numCache>
                <c:formatCode>0.0000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Cp (-)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'CT_CP曲线'!$A$4:$A$25</c:f>
              <c:strCache>
                <c:ptCount val="0"/>
              </c:strCache>
            </c:strRef>
          </c:cat>
          <c:val>
            <c:numRef>
              <c:f>'CT_CP曲线'!$C$4:$C$25</c:f>
              <c:numCache>
                <c:formatCode>0.0000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1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020aad4c44241b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urbineCtCpCurve" displayName="TurbineCtCpCurve" ref="A3:D25" headerRowCount="1">
  <x:tableColumns count="4">
    <x:tableColumn id="1" name="风速 (m/s)"/>
    <x:tableColumn id="2" name="CT (-)"/>
    <x:tableColumn id="3" name="Cp (-)"/>
    <x:tableColumn id="4" name="源功率 (kW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265c160e5cf4a1d" /><Relationship Type="http://schemas.openxmlformats.org/officeDocument/2006/relationships/table" Target="/xl/tables/table1.xml" Id="Rb298803b8f5848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6" hidden="0" customWidth="1"/>
  </x:cols>
  <x:sheetData>
    <x:row r="1" ht="28" customHeight="1">
      <x:c r="A1" s="3" t="str">
        <x:v>风电机组 CT / Cp 曲线</x:v>
      </x:c>
      <x:c r="B1" s="3"/>
      <x:c r="C1" s="3"/>
      <x:c r="D1" s="3"/>
    </x:row>
    <x:row r="2">
      <x:c r="A2" s="7" t="str">
        <x:v>Cp 由源功率曲线按标准空气密度计算；修改“说明”页空气密度后可自动更新。</x:v>
      </x:c>
      <x:c r="B2" s="7"/>
      <x:c r="C2" s="7"/>
      <x:c r="D2" s="7"/>
    </x:row>
    <x:row r="3">
      <x:c r="A3" s="25" t="str">
        <x:v>风速 (m/s)</x:v>
      </x:c>
      <x:c r="B3" s="26" t="str">
        <x:v>CT (-)</x:v>
      </x:c>
      <x:c r="C3" s="26" t="str">
        <x:v>Cp (-)</x:v>
      </x:c>
      <x:c r="D3" s="26" t="str">
        <x:v>源功率 (kW)</x:v>
      </x:c>
    </x:row>
    <x:row r="4" ht="19" customHeight="1">
      <x:c r="A4" s="33" t="n">
        <x:v>4</x:v>
      </x:c>
      <x:c r="B4" s="34" t="n">
        <x:v>0.953</x:v>
      </x:c>
      <x:c r="C4" s="34" t="n">
        <x:f>D4*1000/(0.5*'说明'!$B$8*PI()*('说明'!$B$5^2)/4*A4^3)</x:f>
        <x:v>0.36331034161173026</x:v>
      </x:c>
      <x:c r="D4" s="35" t="n">
        <x:v>354.4</x:v>
      </x:c>
    </x:row>
    <x:row r="5" ht="19" customHeight="1">
      <x:c r="A5" s="33" t="n">
        <x:v>5</x:v>
      </x:c>
      <x:c r="B5" s="34" t="n">
        <x:v>0.937</x:v>
      </x:c>
      <x:c r="C5" s="34" t="n">
        <x:f>D5*1000/(0.5*'说明'!$B$8*PI()*('说明'!$B$5^2)/4*A5^3)</x:f>
        <x:v>0.4664019063565631</x:v>
      </x:c>
      <x:c r="D5" s="35" t="n">
        <x:v>888.6</x:v>
      </x:c>
    </x:row>
    <x:row r="6" ht="19" customHeight="1">
      <x:c r="A6" s="33" t="n">
        <x:v>6</x:v>
      </x:c>
      <x:c r="B6" s="34" t="n">
        <x:v>0.919</x:v>
      </x:c>
      <x:c r="C6" s="34" t="n">
        <x:f>D6*1000/(0.5*'说明'!$B$8*PI()*('说明'!$B$5^2)/4*A6^3)</x:f>
        <x:v>0.5031245295925676</x:v>
      </x:c>
      <x:c r="D6" s="35" t="n">
        <x:v>1656.4</x:v>
      </x:c>
    </x:row>
    <x:row r="7" ht="19" customHeight="1">
      <x:c r="A7" s="33" t="n">
        <x:v>7</x:v>
      </x:c>
      <x:c r="B7" s="34" t="n">
        <x:v>0.876</x:v>
      </x:c>
      <x:c r="C7" s="34" t="n">
        <x:f>D7*1000/(0.5*'说明'!$B$8*PI()*('说明'!$B$5^2)/4*A7^3)</x:f>
        <x:v>0.519402116032349</x:v>
      </x:c>
      <x:c r="D7" s="35" t="n">
        <x:v>2715.4</x:v>
      </x:c>
    </x:row>
    <x:row r="8" ht="19" customHeight="1">
      <x:c r="A8" s="33" t="n">
        <x:v>8</x:v>
      </x:c>
      <x:c r="B8" s="34" t="n">
        <x:v>0.835</x:v>
      </x:c>
      <x:c r="C8" s="34" t="n">
        <x:f>D8*1000/(0.5*'说明'!$B$8*PI()*('说明'!$B$5^2)/4*A8^3)</x:f>
        <x:v>0.5209259314051939</x:v>
      </x:c>
      <x:c r="D8" s="35" t="n">
        <x:v>4065.2</x:v>
      </x:c>
    </x:row>
    <x:row r="9" ht="19" customHeight="1">
      <x:c r="A9" s="33" t="n">
        <x:v>9</x:v>
      </x:c>
      <x:c r="B9" s="34" t="n">
        <x:v>0.835</x:v>
      </x:c>
      <x:c r="C9" s="34" t="n">
        <x:f>D9*1000/(0.5*'说明'!$B$8*PI()*('说明'!$B$5^2)/4*A9^3)</x:f>
        <x:v>0.5209217830251667</x:v>
      </x:c>
      <x:c r="D9" s="35" t="n">
        <x:v>5788.1</x:v>
      </x:c>
    </x:row>
    <x:row r="10" ht="19" customHeight="1">
      <x:c r="A10" s="33" t="n">
        <x:v>10</x:v>
      </x:c>
      <x:c r="B10" s="34" t="n">
        <x:v>0.835</x:v>
      </x:c>
      <x:c r="C10" s="34" t="n">
        <x:f>D10*1000/(0.5*'说明'!$B$8*PI()*('说明'!$B$5^2)/4*A10^3)</x:f>
        <x:v>0.5209165000983575</x:v>
      </x:c>
      <x:c r="D10" s="35" t="n">
        <x:v>7939.7</x:v>
      </x:c>
    </x:row>
    <x:row r="11" ht="19" customHeight="1">
      <x:c r="A11" s="33" t="n">
        <x:v>11</x:v>
      </x:c>
      <x:c r="B11" s="34" t="n">
        <x:v>0.835</x:v>
      </x:c>
      <x:c r="C11" s="34" t="n">
        <x:f>D11*1000/(0.5*'说明'!$B$8*PI()*('说明'!$B$5^2)/4*A11^3)</x:f>
        <x:v>0.5209292817943046</x:v>
      </x:c>
      <x:c r="D11" s="35" t="n">
        <x:v>10568</x:v>
      </x:c>
    </x:row>
    <x:row r="12" ht="19" customHeight="1">
      <x:c r="A12" s="33" t="n">
        <x:v>12</x:v>
      </x:c>
      <x:c r="B12" s="34" t="n">
        <x:v>0.6</x:v>
      </x:c>
      <x:c r="C12" s="34" t="n">
        <x:f>D12*1000/(0.5*'说明'!$B$8*PI()*('说明'!$B$5^2)/4*A12^3)</x:f>
        <x:v>0.43872282807912627</x:v>
      </x:c>
      <x:c r="D12" s="35" t="n">
        <x:v>11555</x:v>
      </x:c>
    </x:row>
    <x:row r="13" ht="19" customHeight="1">
      <x:c r="A13" s="33" t="n">
        <x:v>13</x:v>
      </x:c>
      <x:c r="B13" s="34" t="n">
        <x:v>0.434</x:v>
      </x:c>
      <x:c r="C13" s="34" t="n">
        <x:f>D13*1000/(0.5*'说明'!$B$8*PI()*('说明'!$B$5^2)/4*A13^3)</x:f>
        <x:v>0.3386766961488534</x:v>
      </x:c>
      <x:c r="D13" s="35" t="n">
        <x:v>11341</x:v>
      </x:c>
    </x:row>
    <x:row r="14" ht="19" customHeight="1">
      <x:c r="A14" s="33" t="n">
        <x:v>14</x:v>
      </x:c>
      <x:c r="B14" s="34" t="n">
        <x:v>0.334</x:v>
      </x:c>
      <x:c r="C14" s="34" t="n">
        <x:f>D14*1000/(0.5*'说明'!$B$8*PI()*('说明'!$B$5^2)/4*A14^3)</x:f>
        <x:v>0.2674335580311291</x:v>
      </x:c>
      <x:c r="D14" s="35" t="n">
        <x:v>11185</x:v>
      </x:c>
    </x:row>
    <x:row r="15" ht="19" customHeight="1">
      <x:c r="A15" s="33" t="n">
        <x:v>15</x:v>
      </x:c>
      <x:c r="B15" s="34" t="n">
        <x:v>0.267</x:v>
      </x:c>
      <x:c r="C15" s="34" t="n">
        <x:f>D15*1000/(0.5*'说明'!$B$8*PI()*('说明'!$B$5^2)/4*A15^3)</x:f>
        <x:v>0.21648084082271266</x:v>
      </x:c>
      <x:c r="D15" s="35" t="n">
        <x:v>11136</x:v>
      </x:c>
    </x:row>
    <x:row r="16" ht="19" customHeight="1">
      <x:c r="A16" s="33" t="n">
        <x:v>16</x:v>
      </x:c>
      <x:c r="B16" s="34" t="n">
        <x:v>0.217</x:v>
      </x:c>
      <x:c r="C16" s="34" t="n">
        <x:f>D16*1000/(0.5*'说明'!$B$8*PI()*('说明'!$B$5^2)/4*A16^3)</x:f>
        <x:v>0.1763885035371567</x:v>
      </x:c>
      <x:c r="D16" s="35" t="n">
        <x:v>11012</x:v>
      </x:c>
    </x:row>
    <x:row r="17" ht="19" customHeight="1">
      <x:c r="A17" s="33" t="n">
        <x:v>17</x:v>
      </x:c>
      <x:c r="B17" s="34" t="n">
        <x:v>0.18</x:v>
      </x:c>
      <x:c r="C17" s="34" t="n">
        <x:f>D17*1000/(0.5*'说明'!$B$8*PI()*('说明'!$B$5^2)/4*A17^3)</x:f>
        <x:v>0.1462416356472622</x:v>
      </x:c>
      <x:c r="D17" s="35" t="n">
        <x:v>10951</x:v>
      </x:c>
    </x:row>
    <x:row r="18" ht="19" customHeight="1">
      <x:c r="A18" s="33" t="n">
        <x:v>18</x:v>
      </x:c>
      <x:c r="B18" s="34" t="n">
        <x:v>0.152</x:v>
      </x:c>
      <x:c r="C18" s="34" t="n">
        <x:f>D18*1000/(0.5*'说明'!$B$8*PI()*('说明'!$B$5^2)/4*A18^3)</x:f>
        <x:v>0.12260080145920652</x:v>
      </x:c>
      <x:c r="D18" s="35" t="n">
        <x:v>10898</x:v>
      </x:c>
    </x:row>
    <x:row r="19" ht="19" customHeight="1">
      <x:c r="A19" s="33" t="n">
        <x:v>19</x:v>
      </x:c>
      <x:c r="B19" s="34" t="n">
        <x:v>0.13</x:v>
      </x:c>
      <x:c r="C19" s="34" t="n">
        <x:f>D19*1000/(0.5*'说明'!$B$8*PI()*('说明'!$B$5^2)/4*A19^3)</x:f>
        <x:v>0.10392809069921345</x:v>
      </x:c>
      <x:c r="D19" s="35" t="n">
        <x:v>10865</x:v>
      </x:c>
    </x:row>
    <x:row r="20" ht="19" customHeight="1">
      <x:c r="A20" s="33" t="n">
        <x:v>20</x:v>
      </x:c>
      <x:c r="B20" s="34" t="n">
        <x:v>0.112</x:v>
      </x:c>
      <x:c r="C20" s="34" t="n">
        <x:f>D20*1000/(0.5*'说明'!$B$8*PI()*('说明'!$B$5^2)/4*A20^3)</x:f>
        <x:v>0.08871169221702227</x:v>
      </x:c>
      <x:c r="D20" s="35" t="n">
        <x:v>10817</x:v>
      </x:c>
    </x:row>
    <x:row r="21" ht="19" customHeight="1">
      <x:c r="A21" s="33" t="n">
        <x:v>21</x:v>
      </x:c>
      <x:c r="B21" s="34" t="n">
        <x:v>0.098</x:v>
      </x:c>
      <x:c r="C21" s="34" t="n">
        <x:f>D21*1000/(0.5*'说明'!$B$8*PI()*('说明'!$B$5^2)/4*A21^3)</x:f>
        <x:v>0.0763420327182489</x:v>
      </x:c>
      <x:c r="D21" s="35" t="n">
        <x:v>10776</x:v>
      </x:c>
    </x:row>
    <x:row r="22" ht="19" customHeight="1">
      <x:c r="A22" s="33" t="n">
        <x:v>22</x:v>
      </x:c>
      <x:c r="B22" s="34" t="n">
        <x:v>0.086</x:v>
      </x:c>
      <x:c r="C22" s="34" t="n">
        <x:f>D22*1000/(0.5*'说明'!$B$8*PI()*('说明'!$B$5^2)/4*A22^3)</x:f>
        <x:v>0.06614515329369158</x:v>
      </x:c>
      <x:c r="D22" s="35" t="n">
        <x:v>10735</x:v>
      </x:c>
    </x:row>
    <x:row r="23" ht="19" customHeight="1">
      <x:c r="A23" s="33" t="n">
        <x:v>23</x:v>
      </x:c>
      <x:c r="B23" s="34" t="n">
        <x:v>0.076</x:v>
      </x:c>
      <x:c r="C23" s="34" t="n">
        <x:f>D23*1000/(0.5*'说明'!$B$8*PI()*('说明'!$B$5^2)/4*A23^3)</x:f>
        <x:v>0.05770386152510928</x:v>
      </x:c>
      <x:c r="D23" s="35" t="n">
        <x:v>10701</x:v>
      </x:c>
    </x:row>
    <x:row r="24" ht="19" customHeight="1">
      <x:c r="A24" s="33" t="n">
        <x:v>24</x:v>
      </x:c>
      <x:c r="B24" s="34" t="n">
        <x:v>0.068</x:v>
      </x:c>
      <x:c r="C24" s="34" t="n">
        <x:f>D24*1000/(0.5*'说明'!$B$8*PI()*('说明'!$B$5^2)/4*A24^3)</x:f>
        <x:v>0.05064011873219686</x:v>
      </x:c>
      <x:c r="D24" s="35" t="n">
        <x:v>10670</x:v>
      </x:c>
    </x:row>
    <x:row r="25" ht="19" customHeight="1">
      <x:c r="A25" s="36" t="n">
        <x:v>25</x:v>
      </x:c>
      <x:c r="B25" s="37" t="n">
        <x:v>0.061</x:v>
      </x:c>
      <x:c r="C25" s="37" t="n">
        <x:f>D25*1000/(0.5*'说明'!$B$8*PI()*('说明'!$B$5^2)/4*A25^3)</x:f>
        <x:v>0.0446183808862916</x:v>
      </x:c>
      <x:c r="D25" s="38" t="n">
        <x:v>10626</x:v>
      </x:c>
    </x:row>
  </x:sheetData>
  <x:mergeCells>
    <x:mergeCell ref="A1:D1"/>
    <x:mergeCell ref="A2:D2"/>
  </x:mergeCells>
  <x:pageMargins left="0.7" right="0.7" top="0.75" bottom="0.75" header="0.3" footer="0.3"/>
  <x:drawing xmlns:r="http://schemas.openxmlformats.org/officeDocument/2006/relationships" r:id="R8265c160e5cf4a1d"/>
  <x:tableParts count="1">
    <x:tablePart xmlns:r="http://schemas.openxmlformats.org/officeDocument/2006/relationships" r:id="Rb298803b8f5848c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2" hidden="0" customWidth="1"/>
  </x:cols>
  <x:sheetData>
    <x:row r="1">
      <x:c r="A1" s="19" t="str">
        <x:v>参数 / 说明</x:v>
      </x:c>
      <x:c r="B1" s="21" t="str">
        <x:v>值</x:v>
      </x:c>
    </x:row>
    <x:row r="2">
      <x:c r="A2" s="42" t="str">
        <x:v>源文件</x:v>
      </x:c>
      <x:c r="B2" s="43" t="str">
        <x:v>case_neutral/wind-turbine-1.tbl</x:v>
      </x:c>
    </x:row>
    <x:row r="3">
      <x:c r="A3" s="44" t="str">
        <x:v>源曲线行数</x:v>
      </x:c>
      <x:c r="B3" s="45" t="n">
        <x:v>22</x:v>
      </x:c>
    </x:row>
    <x:row r="4">
      <x:c r="A4" s="44" t="str">
        <x:v>轮毂高度 (m)</x:v>
      </x:c>
      <x:c r="B4" s="45" t="n">
        <x:v>119</x:v>
      </x:c>
    </x:row>
    <x:row r="5">
      <x:c r="A5" s="44" t="str">
        <x:v>叶轮直径 (m)</x:v>
      </x:c>
      <x:c r="B5" s="45" t="n">
        <x:v>178</x:v>
      </x:c>
    </x:row>
    <x:row r="6">
      <x:c r="A6" s="44" t="str">
        <x:v>静置推力系数</x:v>
      </x:c>
      <x:c r="B6" s="45" t="n">
        <x:v>0.12</x:v>
      </x:c>
    </x:row>
    <x:row r="7">
      <x:c r="A7" s="44" t="str">
        <x:v>额定功率字段 (MW)</x:v>
      </x:c>
      <x:c r="B7" s="45" t="n">
        <x:v>10</x:v>
      </x:c>
    </x:row>
    <x:row r="8">
      <x:c r="A8" s="44" t="str">
        <x:v>Cp计算空气密度 (kg/m³)</x:v>
      </x:c>
      <x:c r="B8" s="49" t="n">
        <x:v>1.225</x:v>
      </x:c>
    </x:row>
    <x:row r="9">
      <x:c r="A9" s="44" t="str">
        <x:v>Cp计算公式</x:v>
      </x:c>
      <x:c r="B9" s="45" t="str">
        <x:v>Cp = P / (0.5 × ρ × A × U³)，A = πD²/4</x:v>
      </x:c>
    </x:row>
    <x:row r="10">
      <x:c r="A10" s="44" t="str">
        <x:v>曲线源字段</x:v>
      </x:c>
      <x:c r="B10" s="45" t="str">
        <x:v>风速、CT、功率；Cp为本工作簿计算列</x:v>
      </x:c>
    </x:row>
    <x:row r="11">
      <x:c r="A11" s="44" t="str">
        <x:v>算例一致性</x:v>
      </x:c>
      <x:c r="B11" s="45" t="str">
        <x:v>5个稳定度算例的曲线文件SHA-256一致</x:v>
      </x:c>
    </x:row>
    <x:row r="12">
      <x:c r="A12" s="46" t="str">
        <x:v>适用算例</x:v>
      </x:c>
      <x:c r="B12" s="47" t="str">
        <x:v>case_neutral；case_stable_moderate；case_stable_weak；case_unstable_moderate；case_unstable_weak</x:v>
      </x:c>
    </x:row>
  </x:sheetData>
  <x:pageMargins left="0.7" right="0.7" top="0.75" bottom="0.75" header="0.3" footer="0.3"/>
</x:worksheet>
</file>